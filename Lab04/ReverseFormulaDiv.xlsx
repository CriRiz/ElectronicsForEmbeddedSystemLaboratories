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ri\Politecnico Di Torino Studenti Dropbox\Cristina Rizzo\MagistralePolito\1Anno\1Semestre\ElectronicsForEmbeddedSystem\Laboratori\ElectronicsForEmbeddedSystemLaboratories\Lab04\"/>
    </mc:Choice>
  </mc:AlternateContent>
  <xr:revisionPtr revIDLastSave="0" documentId="8_{258CB5D7-7D05-41AA-A9BD-D0FD99173661}" xr6:coauthVersionLast="47" xr6:coauthVersionMax="47" xr10:uidLastSave="{00000000-0000-0000-0000-000000000000}"/>
  <bookViews>
    <workbookView xWindow="-98" yWindow="-98" windowWidth="19396" windowHeight="11475" xr2:uid="{5434573D-D4C7-4013-93B7-14C99A80B1C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D4" i="1" s="1"/>
  <c r="C4" i="1" s="1"/>
  <c r="B4" i="1" s="1"/>
  <c r="G4" i="1"/>
  <c r="G5" i="1"/>
  <c r="H5" i="1" s="1"/>
  <c r="D5" i="1" s="1"/>
  <c r="C5" i="1" s="1"/>
  <c r="B5" i="1" s="1"/>
  <c r="G6" i="1"/>
  <c r="H6" i="1" s="1"/>
  <c r="D6" i="1" s="1"/>
  <c r="C6" i="1" s="1"/>
  <c r="B6" i="1" s="1"/>
  <c r="F3" i="1"/>
  <c r="F4" i="1"/>
  <c r="F5" i="1"/>
  <c r="F6" i="1"/>
  <c r="G3" i="1"/>
  <c r="H3" i="1" s="1"/>
  <c r="D3" i="1" s="1"/>
  <c r="C3" i="1" s="1"/>
  <c r="B3" i="1" s="1"/>
  <c r="G2" i="1"/>
  <c r="H2" i="1" s="1"/>
  <c r="D2" i="1" s="1"/>
  <c r="C2" i="1" s="1"/>
  <c r="B2" i="1" s="1"/>
  <c r="F2" i="1"/>
</calcChain>
</file>

<file path=xl/sharedStrings.xml><?xml version="1.0" encoding="utf-8"?>
<sst xmlns="http://schemas.openxmlformats.org/spreadsheetml/2006/main" count="7" uniqueCount="7">
  <si>
    <t>DIVISOR</t>
  </si>
  <si>
    <t>flow</t>
  </si>
  <si>
    <t>fs</t>
  </si>
  <si>
    <t>N</t>
  </si>
  <si>
    <t>clk</t>
  </si>
  <si>
    <t>risoluzione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</si>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</sst>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9E0D-7031-4FB1-AD2A-B355C1EFA436}">
  <dimension ref="A1:H6"/>
  <sheetViews>
    <sheetView tabSelected="1" workbookViewId="0">
      <selection activeCell="A11" sqref="A11"/>
    </sheetView>
  </sheetViews>
  <sheetFormatPr defaultRowHeight="14.25" x14ac:dyDescent="0.45"/>
  <cols>
    <col min="7" max="7" width="9.73046875" bestFit="1" customWidth="1"/>
    <col min="8" max="8" width="10.73046875" bestFit="1" customWidth="1"/>
  </cols>
  <sheetData>
    <row r="1" spans="1: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5">
      <c r="A2">
        <v>1000</v>
      </c>
      <c r="B2">
        <f>(F2/C2)-1</f>
        <v>998.99999999999989</v>
      </c>
      <c r="C2">
        <f>D2*E2</f>
        <v>50000.000000000007</v>
      </c>
      <c r="D2">
        <f>1/H2</f>
        <v>12500.000000000002</v>
      </c>
      <c r="E2">
        <v>4</v>
      </c>
      <c r="F2">
        <f>50*10^6</f>
        <v>50000000</v>
      </c>
      <c r="G2">
        <f>100*10^(-6)</f>
        <v>9.9999999999999991E-5</v>
      </c>
      <c r="H2">
        <f>0.8*G2</f>
        <v>7.9999999999999993E-5</v>
      </c>
    </row>
    <row r="3" spans="1:8" x14ac:dyDescent="0.45">
      <c r="A3">
        <v>800</v>
      </c>
      <c r="B3">
        <f t="shared" ref="B3:B6" si="0">(F3/C3)-1</f>
        <v>798.99999999999989</v>
      </c>
      <c r="C3">
        <f t="shared" ref="C3:C6" si="1">D3*E3</f>
        <v>62500.000000000007</v>
      </c>
      <c r="D3">
        <f t="shared" ref="D3:D6" si="2">1/H3</f>
        <v>12500.000000000002</v>
      </c>
      <c r="E3">
        <v>5</v>
      </c>
      <c r="F3">
        <f t="shared" ref="F3:F6" si="3">50*10^6</f>
        <v>50000000</v>
      </c>
      <c r="G3">
        <f>100*10^(-6)</f>
        <v>9.9999999999999991E-5</v>
      </c>
      <c r="H3">
        <f>0.8*G3</f>
        <v>7.9999999999999993E-5</v>
      </c>
    </row>
    <row r="4" spans="1:8" x14ac:dyDescent="0.45">
      <c r="A4">
        <v>700</v>
      </c>
      <c r="B4">
        <f t="shared" si="0"/>
        <v>665.66666666666652</v>
      </c>
      <c r="C4">
        <f t="shared" si="1"/>
        <v>75000.000000000015</v>
      </c>
      <c r="D4">
        <f t="shared" si="2"/>
        <v>12500.000000000002</v>
      </c>
      <c r="E4">
        <v>6</v>
      </c>
      <c r="F4">
        <f t="shared" si="3"/>
        <v>50000000</v>
      </c>
      <c r="G4">
        <f t="shared" ref="G4:G6" si="4">100*10^(-6)</f>
        <v>9.9999999999999991E-5</v>
      </c>
      <c r="H4">
        <f t="shared" ref="H4:H6" si="5">0.8*G4</f>
        <v>7.9999999999999993E-5</v>
      </c>
    </row>
    <row r="5" spans="1:8" x14ac:dyDescent="0.45">
      <c r="A5">
        <v>600</v>
      </c>
      <c r="B5">
        <f t="shared" si="0"/>
        <v>570.42857142857133</v>
      </c>
      <c r="C5">
        <f t="shared" si="1"/>
        <v>87500.000000000015</v>
      </c>
      <c r="D5">
        <f t="shared" si="2"/>
        <v>12500.000000000002</v>
      </c>
      <c r="E5">
        <v>7</v>
      </c>
      <c r="F5">
        <f t="shared" si="3"/>
        <v>50000000</v>
      </c>
      <c r="G5">
        <f t="shared" si="4"/>
        <v>9.9999999999999991E-5</v>
      </c>
      <c r="H5">
        <f t="shared" si="5"/>
        <v>7.9999999999999993E-5</v>
      </c>
    </row>
    <row r="6" spans="1:8" x14ac:dyDescent="0.45">
      <c r="A6">
        <v>500</v>
      </c>
      <c r="B6">
        <f t="shared" si="0"/>
        <v>498.99999999999994</v>
      </c>
      <c r="C6">
        <f t="shared" si="1"/>
        <v>100000.00000000001</v>
      </c>
      <c r="D6">
        <f t="shared" si="2"/>
        <v>12500.000000000002</v>
      </c>
      <c r="E6">
        <v>8</v>
      </c>
      <c r="F6">
        <f t="shared" si="3"/>
        <v>50000000</v>
      </c>
      <c r="G6">
        <f t="shared" si="4"/>
        <v>9.9999999999999991E-5</v>
      </c>
      <c r="H6">
        <f t="shared" si="5"/>
        <v>7.9999999999999993E-5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Rizzo  Cristina</dc:creator>
  <cp:lastModifiedBy>Rizzo  Cristina</cp:lastModifiedBy>
  <dcterms:created xsi:type="dcterms:W3CDTF">2026-01-23T17:22:55Z</dcterms:created>
  <dcterms:modified xsi:type="dcterms:W3CDTF">2026-01-23T17:44:21Z</dcterms:modified>
</cp:coreProperties>
</file>