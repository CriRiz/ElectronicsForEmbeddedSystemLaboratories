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ri\Documents\Custom Office Templates\"/>
    </mc:Choice>
  </mc:AlternateContent>
  <xr:revisionPtr revIDLastSave="0" documentId="8_{6ABA2308-AC45-4C2B-87B5-AB6ABD8D8B87}" xr6:coauthVersionLast="47" xr6:coauthVersionMax="47" xr10:uidLastSave="{00000000-0000-0000-0000-000000000000}"/>
  <bookViews>
    <workbookView xWindow="-108" yWindow="-108" windowWidth="23256" windowHeight="12456" xr2:uid="{641DD250-CC24-47D0-A7FD-34D2FD688117}"/>
  </bookViews>
  <sheets>
    <sheet name="Lab5Elettron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3" i="1"/>
  <c r="L3" i="1"/>
  <c r="J4" i="1"/>
  <c r="K4" i="1" s="1"/>
  <c r="F4" i="1"/>
  <c r="G4" i="1" s="1"/>
  <c r="F5" i="1"/>
  <c r="J5" i="1" s="1"/>
  <c r="K5" i="1" s="1"/>
  <c r="F6" i="1"/>
  <c r="G6" i="1" s="1"/>
  <c r="F3" i="1"/>
  <c r="G3" i="1" s="1"/>
  <c r="B4" i="1"/>
  <c r="L4" i="1" s="1"/>
  <c r="B5" i="1"/>
  <c r="L5" i="1" s="1"/>
  <c r="B6" i="1"/>
  <c r="L6" i="1" s="1"/>
  <c r="B7" i="1"/>
  <c r="L7" i="1" s="1"/>
  <c r="B8" i="1"/>
  <c r="L8" i="1" s="1"/>
  <c r="B3" i="1"/>
  <c r="A4" i="1"/>
  <c r="H4" i="1" s="1"/>
  <c r="I4" i="1" s="1"/>
  <c r="A5" i="1"/>
  <c r="H5" i="1" s="1"/>
  <c r="I5" i="1" s="1"/>
  <c r="A6" i="1"/>
  <c r="H6" i="1" s="1"/>
  <c r="I6" i="1" s="1"/>
  <c r="A7" i="1"/>
  <c r="H7" i="1" s="1"/>
  <c r="I7" i="1" s="1"/>
  <c r="A8" i="1"/>
  <c r="D7" i="1"/>
  <c r="F7" i="1" s="1"/>
  <c r="G7" i="1" s="1"/>
  <c r="D8" i="1"/>
  <c r="F8" i="1" s="1"/>
  <c r="D6" i="1"/>
  <c r="E8" i="1"/>
  <c r="E7" i="1"/>
  <c r="J7" i="1" s="1"/>
  <c r="K7" i="1" s="1"/>
  <c r="E6" i="1"/>
  <c r="J6" i="1" s="1"/>
  <c r="K6" i="1" s="1"/>
  <c r="E5" i="1"/>
  <c r="N5" i="1" s="1"/>
  <c r="E4" i="1"/>
  <c r="E3" i="1"/>
  <c r="N3" i="1" s="1"/>
  <c r="A3" i="1"/>
  <c r="H3" i="1" s="1"/>
  <c r="I3" i="1" s="1"/>
  <c r="P5" i="1" l="1"/>
  <c r="G8" i="1"/>
  <c r="J8" i="1"/>
  <c r="K8" i="1" s="1"/>
  <c r="N8" i="1"/>
  <c r="P8" i="1"/>
  <c r="P4" i="1"/>
  <c r="N7" i="1"/>
  <c r="P7" i="1" s="1"/>
  <c r="N4" i="1"/>
  <c r="H8" i="1"/>
  <c r="I8" i="1" s="1"/>
  <c r="P3" i="1"/>
  <c r="N6" i="1"/>
  <c r="P6" i="1" s="1"/>
  <c r="J3" i="1"/>
  <c r="K3" i="1" s="1"/>
  <c r="G5" i="1"/>
</calcChain>
</file>

<file path=xl/sharedStrings.xml><?xml version="1.0" encoding="utf-8"?>
<sst xmlns="http://schemas.openxmlformats.org/spreadsheetml/2006/main" count="27" uniqueCount="17">
  <si>
    <t>𝛿</t>
  </si>
  <si>
    <r>
      <t>n</t>
    </r>
    <r>
      <rPr>
        <vertAlign val="subscript"/>
        <sz val="11"/>
        <color theme="1"/>
        <rFont val="Aptos Narrow"/>
        <family val="2"/>
        <scheme val="minor"/>
      </rPr>
      <t xml:space="preserve">𝛿 </t>
    </r>
  </si>
  <si>
    <t>MAXCNT</t>
  </si>
  <si>
    <t>DIVISOR</t>
  </si>
  <si>
    <t>REGISTER</t>
  </si>
  <si>
    <r>
      <t>t</t>
    </r>
    <r>
      <rPr>
        <vertAlign val="subscript"/>
        <sz val="11"/>
        <color theme="1"/>
        <rFont val="Aptos Narrow"/>
        <family val="2"/>
        <scheme val="minor"/>
      </rPr>
      <t>on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</si>
  <si>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pwn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</si>
  <si>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off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</si>
  <si>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clk</t>
    </r>
    <r>
      <rPr>
        <sz val="11"/>
        <color theme="1"/>
        <rFont val="Aptos Narrow"/>
        <family val="2"/>
        <scheme val="minor"/>
      </rPr>
      <t xml:space="preserve"> (Hz)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</si>
  <si>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pwn</t>
    </r>
    <r>
      <rPr>
        <sz val="11"/>
        <color theme="1"/>
        <rFont val="Aptos Narrow"/>
        <family val="2"/>
        <scheme val="minor"/>
      </rPr>
      <t xml:space="preserve"> (Hz)</t>
    </r>
  </si>
  <si>
    <t>calculated</t>
  </si>
  <si>
    <t>real</t>
  </si>
  <si>
    <r>
      <t>V</t>
    </r>
    <r>
      <rPr>
        <vertAlign val="subscript"/>
        <sz val="11"/>
        <color theme="1"/>
        <rFont val="Aptos Narrow"/>
        <family val="2"/>
        <scheme val="minor"/>
      </rPr>
      <t>H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</si>
  <si>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</t>
    </r>
  </si>
  <si>
    <t>decimale</t>
  </si>
  <si>
    <t>binario</t>
  </si>
  <si>
    <r>
      <t>f</t>
    </r>
    <r>
      <rPr>
        <vertAlign val="subscript"/>
        <sz val="11"/>
        <color theme="1"/>
        <rFont val="Aptos Narrow"/>
        <family val="2"/>
        <scheme val="minor"/>
      </rPr>
      <t>triangle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</si>
</sst>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B63F-A9E1-4AD2-8A69-F00245A0EC9C}">
  <dimension ref="A1:T12"/>
  <sheetViews>
    <sheetView tabSelected="1" topLeftCell="E1" zoomScale="145" zoomScaleNormal="145" workbookViewId="0">
      <selection activeCell="Q11" sqref="Q11"/>
    </sheetView>
  </sheetViews>
  <sheetFormatPr defaultRowHeight="13.8" x14ac:dyDescent="0.25"/>
  <cols>
    <col min="5" max="5" width="9" bestFit="1" customWidth="1"/>
  </cols>
  <sheetData>
    <row r="1" spans="1:20" ht="16.2" x14ac:dyDescent="0.35">
      <c r="A1" t="s">
        <v>8</v>
      </c>
      <c r="B1" s="2" t="s">
        <v>9</v>
      </c>
      <c r="C1" s="2"/>
      <c r="D1" t="s">
        <v>1</v>
      </c>
      <c r="E1" t="s">
        <v>0</v>
      </c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6</v>
      </c>
      <c r="M1" s="2"/>
      <c r="N1" s="2" t="s">
        <v>5</v>
      </c>
      <c r="O1" s="2"/>
      <c r="P1" s="2" t="s">
        <v>7</v>
      </c>
      <c r="Q1" s="2"/>
      <c r="R1" s="1" t="s">
        <v>16</v>
      </c>
      <c r="S1" t="s">
        <v>12</v>
      </c>
      <c r="T1" t="s">
        <v>13</v>
      </c>
    </row>
    <row r="2" spans="1:20" x14ac:dyDescent="0.25">
      <c r="B2" t="s">
        <v>10</v>
      </c>
      <c r="C2" t="s">
        <v>11</v>
      </c>
      <c r="F2" s="1" t="s">
        <v>14</v>
      </c>
      <c r="G2" s="1" t="s">
        <v>15</v>
      </c>
      <c r="H2" s="1" t="s">
        <v>14</v>
      </c>
      <c r="I2" s="1" t="s">
        <v>15</v>
      </c>
      <c r="J2" s="1" t="s">
        <v>14</v>
      </c>
      <c r="K2" s="1" t="s">
        <v>15</v>
      </c>
      <c r="L2" t="s">
        <v>10</v>
      </c>
      <c r="M2" t="s">
        <v>11</v>
      </c>
      <c r="N2" t="s">
        <v>10</v>
      </c>
      <c r="O2" t="s">
        <v>11</v>
      </c>
      <c r="P2" t="s">
        <v>10</v>
      </c>
      <c r="Q2" t="s">
        <v>11</v>
      </c>
    </row>
    <row r="3" spans="1:20" x14ac:dyDescent="0.25">
      <c r="A3">
        <f>50*10^6</f>
        <v>50000000</v>
      </c>
      <c r="B3">
        <f>10*10^3</f>
        <v>10000</v>
      </c>
      <c r="D3">
        <v>12</v>
      </c>
      <c r="E3" s="3">
        <f>0.2</f>
        <v>0.2</v>
      </c>
      <c r="F3">
        <f>D3-2</f>
        <v>10</v>
      </c>
      <c r="G3" s="4" t="str">
        <f>IF(F3&gt;255, _xlfn.BASE(CEILING(F3/16, 1), 2), _xlfn.BASE(F3,2))</f>
        <v>1010</v>
      </c>
      <c r="H3">
        <f>ROUNDUP((A3/(B3*(F3+1)))-1, 0)</f>
        <v>454</v>
      </c>
      <c r="I3" s="4" t="str">
        <f>IF(H3&gt;255, _xlfn.BASE(CEILING(H3/16, 1), 2), _xlfn.BASE(H3, 2))</f>
        <v>11101</v>
      </c>
      <c r="J3">
        <f>ROUNDUP((E3*(F3+1)),0)</f>
        <v>3</v>
      </c>
      <c r="K3" s="4" t="str">
        <f>IF(J3&gt;255, _xlfn.BASE(CEILING(J3/16,1),2),_xlfn.BASE(J3,2))</f>
        <v>11</v>
      </c>
      <c r="L3">
        <f>1/B3</f>
        <v>1E-4</v>
      </c>
      <c r="N3">
        <f>E3*L3</f>
        <v>2.0000000000000002E-5</v>
      </c>
      <c r="P3">
        <f>L3-N3</f>
        <v>8.0000000000000007E-5</v>
      </c>
      <c r="R3">
        <f>B3/(2*(F3+1))</f>
        <v>454.54545454545456</v>
      </c>
    </row>
    <row r="4" spans="1:20" x14ac:dyDescent="0.25">
      <c r="A4">
        <f t="shared" ref="A4:A8" si="0">50*10^6</f>
        <v>50000000</v>
      </c>
      <c r="B4">
        <f t="shared" ref="B4:B8" si="1">10*10^3</f>
        <v>10000</v>
      </c>
      <c r="D4">
        <v>12</v>
      </c>
      <c r="E4" s="3">
        <f>0.5</f>
        <v>0.5</v>
      </c>
      <c r="F4">
        <f t="shared" ref="F4:F8" si="2">D4-2</f>
        <v>10</v>
      </c>
      <c r="G4" s="4" t="str">
        <f t="shared" ref="G4:G8" si="3">IF(F4&gt;255, _xlfn.BASE(CEILING(F4/16, 1), 2), _xlfn.BASE(F4,2))</f>
        <v>1010</v>
      </c>
      <c r="H4">
        <f t="shared" ref="H4:H8" si="4">ROUNDUP((A4/(B4*(F4+1)))-1, 0)</f>
        <v>454</v>
      </c>
      <c r="I4" s="4" t="str">
        <f t="shared" ref="I4:I8" si="5">IF(H4&gt;255, _xlfn.BASE(CEILING(H4/16, 1), 2), _xlfn.BASE(H4, 2))</f>
        <v>11101</v>
      </c>
      <c r="J4">
        <f t="shared" ref="J4:J8" si="6">ROUNDUP((E4*(F4+1)),0)</f>
        <v>6</v>
      </c>
      <c r="K4" s="4" t="str">
        <f t="shared" ref="K4:K8" si="7">IF(J4&gt;255, _xlfn.BASE(CEILING(J4/16,1),2),_xlfn.BASE(J4,2))</f>
        <v>110</v>
      </c>
      <c r="L4">
        <f t="shared" ref="L4:L8" si="8">1/B4</f>
        <v>1E-4</v>
      </c>
      <c r="N4">
        <f t="shared" ref="N4:N8" si="9">E4*L4</f>
        <v>5.0000000000000002E-5</v>
      </c>
      <c r="P4">
        <f t="shared" ref="P4:P8" si="10">L4-N4</f>
        <v>5.0000000000000002E-5</v>
      </c>
      <c r="R4">
        <f t="shared" ref="R4:R8" si="11">B4/(2*(F4+1))</f>
        <v>454.54545454545456</v>
      </c>
    </row>
    <row r="5" spans="1:20" x14ac:dyDescent="0.25">
      <c r="A5">
        <f t="shared" si="0"/>
        <v>50000000</v>
      </c>
      <c r="B5">
        <f t="shared" si="1"/>
        <v>10000</v>
      </c>
      <c r="D5">
        <v>12</v>
      </c>
      <c r="E5" s="3">
        <f>0.8</f>
        <v>0.8</v>
      </c>
      <c r="F5">
        <f t="shared" si="2"/>
        <v>10</v>
      </c>
      <c r="G5" s="4" t="str">
        <f t="shared" si="3"/>
        <v>1010</v>
      </c>
      <c r="H5">
        <f t="shared" si="4"/>
        <v>454</v>
      </c>
      <c r="I5" s="4" t="str">
        <f t="shared" si="5"/>
        <v>11101</v>
      </c>
      <c r="J5">
        <f t="shared" si="6"/>
        <v>9</v>
      </c>
      <c r="K5" s="4" t="str">
        <f t="shared" si="7"/>
        <v>1001</v>
      </c>
      <c r="L5">
        <f t="shared" si="8"/>
        <v>1E-4</v>
      </c>
      <c r="N5">
        <f t="shared" si="9"/>
        <v>8.0000000000000007E-5</v>
      </c>
      <c r="P5">
        <f t="shared" si="10"/>
        <v>1.9999999999999998E-5</v>
      </c>
      <c r="R5">
        <f t="shared" si="11"/>
        <v>454.54545454545456</v>
      </c>
    </row>
    <row r="6" spans="1:20" x14ac:dyDescent="0.25">
      <c r="A6">
        <f t="shared" si="0"/>
        <v>50000000</v>
      </c>
      <c r="B6">
        <f t="shared" si="1"/>
        <v>10000</v>
      </c>
      <c r="D6">
        <f>100</f>
        <v>100</v>
      </c>
      <c r="E6" s="3">
        <f>0.2</f>
        <v>0.2</v>
      </c>
      <c r="F6">
        <f t="shared" si="2"/>
        <v>98</v>
      </c>
      <c r="G6" s="4" t="str">
        <f t="shared" si="3"/>
        <v>1100010</v>
      </c>
      <c r="H6">
        <f t="shared" si="4"/>
        <v>50</v>
      </c>
      <c r="I6" s="4" t="str">
        <f t="shared" si="5"/>
        <v>110010</v>
      </c>
      <c r="J6">
        <f t="shared" si="6"/>
        <v>20</v>
      </c>
      <c r="K6" s="4" t="str">
        <f t="shared" si="7"/>
        <v>10100</v>
      </c>
      <c r="L6">
        <f t="shared" si="8"/>
        <v>1E-4</v>
      </c>
      <c r="N6">
        <f t="shared" si="9"/>
        <v>2.0000000000000002E-5</v>
      </c>
      <c r="P6">
        <f t="shared" si="10"/>
        <v>8.0000000000000007E-5</v>
      </c>
      <c r="R6">
        <f t="shared" si="11"/>
        <v>50.505050505050505</v>
      </c>
    </row>
    <row r="7" spans="1:20" x14ac:dyDescent="0.25">
      <c r="A7">
        <f t="shared" si="0"/>
        <v>50000000</v>
      </c>
      <c r="B7">
        <f t="shared" si="1"/>
        <v>10000</v>
      </c>
      <c r="D7">
        <f>100</f>
        <v>100</v>
      </c>
      <c r="E7" s="3">
        <f>0.5</f>
        <v>0.5</v>
      </c>
      <c r="F7">
        <f t="shared" si="2"/>
        <v>98</v>
      </c>
      <c r="G7" s="4" t="str">
        <f t="shared" si="3"/>
        <v>1100010</v>
      </c>
      <c r="H7">
        <f t="shared" si="4"/>
        <v>50</v>
      </c>
      <c r="I7" s="4" t="str">
        <f t="shared" si="5"/>
        <v>110010</v>
      </c>
      <c r="J7">
        <f t="shared" si="6"/>
        <v>50</v>
      </c>
      <c r="K7" s="4" t="str">
        <f t="shared" si="7"/>
        <v>110010</v>
      </c>
      <c r="L7">
        <f t="shared" si="8"/>
        <v>1E-4</v>
      </c>
      <c r="N7">
        <f t="shared" si="9"/>
        <v>5.0000000000000002E-5</v>
      </c>
      <c r="P7">
        <f t="shared" si="10"/>
        <v>5.0000000000000002E-5</v>
      </c>
      <c r="R7">
        <f t="shared" si="11"/>
        <v>50.505050505050505</v>
      </c>
    </row>
    <row r="8" spans="1:20" x14ac:dyDescent="0.25">
      <c r="A8">
        <f t="shared" si="0"/>
        <v>50000000</v>
      </c>
      <c r="B8">
        <f t="shared" si="1"/>
        <v>10000</v>
      </c>
      <c r="D8">
        <f>100</f>
        <v>100</v>
      </c>
      <c r="E8" s="3">
        <f>0.8</f>
        <v>0.8</v>
      </c>
      <c r="F8">
        <f t="shared" si="2"/>
        <v>98</v>
      </c>
      <c r="G8" s="4" t="str">
        <f t="shared" si="3"/>
        <v>1100010</v>
      </c>
      <c r="H8">
        <f t="shared" si="4"/>
        <v>50</v>
      </c>
      <c r="I8" s="4" t="str">
        <f t="shared" si="5"/>
        <v>110010</v>
      </c>
      <c r="J8">
        <f t="shared" si="6"/>
        <v>80</v>
      </c>
      <c r="K8" s="4" t="str">
        <f t="shared" si="7"/>
        <v>1010000</v>
      </c>
      <c r="L8">
        <f t="shared" si="8"/>
        <v>1E-4</v>
      </c>
      <c r="N8">
        <f t="shared" si="9"/>
        <v>8.0000000000000007E-5</v>
      </c>
      <c r="P8">
        <f t="shared" si="10"/>
        <v>1.9999999999999998E-5</v>
      </c>
      <c r="R8">
        <f t="shared" si="11"/>
        <v>50.505050505050505</v>
      </c>
    </row>
    <row r="9" spans="1:20" x14ac:dyDescent="0.25">
      <c r="E9" s="3"/>
    </row>
    <row r="10" spans="1:20" x14ac:dyDescent="0.25">
      <c r="E10" s="3"/>
    </row>
    <row r="11" spans="1:20" x14ac:dyDescent="0.25">
      <c r="E11" s="3"/>
    </row>
    <row r="12" spans="1:20" x14ac:dyDescent="0.25">
      <c r="E12" s="3"/>
    </row>
  </sheetData>
  <mergeCells count="7">
    <mergeCell ref="P1:Q1"/>
    <mergeCell ref="F1:G1"/>
    <mergeCell ref="H1:I1"/>
    <mergeCell ref="J1:K1"/>
    <mergeCell ref="B1:C1"/>
    <mergeCell ref="L1:M1"/>
    <mergeCell ref="N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Lab5Elettronics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Rizzo  Cristina</dc:creator>
  <cp:lastModifiedBy>Rizzo  Cristina</cp:lastModifiedBy>
  <dcterms:created xsi:type="dcterms:W3CDTF">2026-01-11T17:29:53Z</dcterms:created>
  <dcterms:modified xsi:type="dcterms:W3CDTF">2026-01-11T18:42:20Z</dcterms:modified>
</cp:coreProperties>
</file>