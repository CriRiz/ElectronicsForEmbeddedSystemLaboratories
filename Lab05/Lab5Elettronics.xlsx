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iri\Politecnico Di Torino Studenti Dropbox\Cristina Rizzo\MagistralePolito\1Anno\1Semestre\ElectronicsForEmbeddedSystem\Laboratori\ElectronicsForEmbeddedSystemLaboratories\Lab05\"/>
    </mc:Choice>
  </mc:AlternateContent>
  <xr:revisionPtr revIDLastSave="0" documentId="8_{99C3F454-7DAF-4650-B377-C7FE60B03627}" xr6:coauthVersionLast="47" xr6:coauthVersionMax="47" xr10:uidLastSave="{00000000-0000-0000-0000-000000000000}"/>
  <bookViews>
    <workbookView xWindow="-98" yWindow="-98" windowWidth="19396" windowHeight="11475" xr2:uid="{641DD250-CC24-47D0-A7FD-34D2FD688117}"/>
  </bookViews>
  <sheets>
    <sheet name="Lab5Elettronic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1" l="1"/>
  <c r="L10" i="1"/>
  <c r="E10" i="1"/>
  <c r="E9" i="1"/>
  <c r="U9" i="1"/>
  <c r="Q9" i="1"/>
  <c r="S9" i="1" s="1"/>
  <c r="O9" i="1"/>
  <c r="L9" i="1"/>
  <c r="M9" i="1" s="1"/>
  <c r="N9" i="1" s="1"/>
  <c r="I9" i="1"/>
  <c r="J9" i="1" s="1"/>
  <c r="K9" i="1" s="1"/>
  <c r="H9" i="1"/>
  <c r="G9" i="1"/>
  <c r="D9" i="1"/>
  <c r="F9" i="1"/>
  <c r="E8" i="1"/>
  <c r="B9" i="1"/>
  <c r="A9" i="1"/>
  <c r="A8" i="1"/>
  <c r="N4" i="1"/>
  <c r="N5" i="1"/>
  <c r="N6" i="1"/>
  <c r="N7" i="1"/>
  <c r="N3" i="1"/>
  <c r="K4" i="1"/>
  <c r="K5" i="1"/>
  <c r="K6" i="1"/>
  <c r="K7" i="1"/>
  <c r="K3" i="1"/>
  <c r="H3" i="1"/>
  <c r="H4" i="1"/>
  <c r="H5" i="1"/>
  <c r="H6" i="1"/>
  <c r="H7" i="1"/>
  <c r="H8" i="1"/>
  <c r="F4" i="1"/>
  <c r="G4" i="1" s="1"/>
  <c r="F5" i="1"/>
  <c r="F3" i="1"/>
  <c r="G3" i="1" s="1"/>
  <c r="B4" i="1"/>
  <c r="O4" i="1" s="1"/>
  <c r="B5" i="1"/>
  <c r="O5" i="1" s="1"/>
  <c r="B6" i="1"/>
  <c r="O6" i="1" s="1"/>
  <c r="B7" i="1"/>
  <c r="O7" i="1" s="1"/>
  <c r="B8" i="1"/>
  <c r="O8" i="1" s="1"/>
  <c r="B3" i="1"/>
  <c r="A4" i="1"/>
  <c r="A5" i="1"/>
  <c r="A6" i="1"/>
  <c r="A7" i="1"/>
  <c r="D7" i="1"/>
  <c r="F7" i="1" s="1"/>
  <c r="G7" i="1" s="1"/>
  <c r="D8" i="1"/>
  <c r="F8" i="1" s="1"/>
  <c r="D6" i="1"/>
  <c r="F6" i="1" s="1"/>
  <c r="G6" i="1" s="1"/>
  <c r="E7" i="1"/>
  <c r="E6" i="1"/>
  <c r="E5" i="1"/>
  <c r="Q5" i="1" s="1"/>
  <c r="E4" i="1"/>
  <c r="L4" i="1" s="1"/>
  <c r="M4" i="1" s="1"/>
  <c r="E3" i="1"/>
  <c r="A3" i="1"/>
  <c r="I7" i="1" l="1"/>
  <c r="J7" i="1" s="1"/>
  <c r="L7" i="1"/>
  <c r="M7" i="1" s="1"/>
  <c r="I5" i="1"/>
  <c r="J5" i="1" s="1"/>
  <c r="U3" i="1"/>
  <c r="I3" i="1"/>
  <c r="J3" i="1" s="1"/>
  <c r="O3" i="1"/>
  <c r="U4" i="1"/>
  <c r="Q3" i="1"/>
  <c r="U8" i="1"/>
  <c r="L6" i="1"/>
  <c r="M6" i="1" s="1"/>
  <c r="I6" i="1"/>
  <c r="J6" i="1" s="1"/>
  <c r="U7" i="1"/>
  <c r="I4" i="1"/>
  <c r="J4" i="1" s="1"/>
  <c r="U6" i="1"/>
  <c r="L5" i="1"/>
  <c r="M5" i="1" s="1"/>
  <c r="U5" i="1"/>
  <c r="S5" i="1"/>
  <c r="G8" i="1"/>
  <c r="L8" i="1"/>
  <c r="M8" i="1" s="1"/>
  <c r="N8" i="1" s="1"/>
  <c r="Q8" i="1"/>
  <c r="S8" i="1" s="1"/>
  <c r="Q7" i="1"/>
  <c r="S7" i="1" s="1"/>
  <c r="Q4" i="1"/>
  <c r="S4" i="1" s="1"/>
  <c r="I8" i="1"/>
  <c r="J8" i="1" s="1"/>
  <c r="K8" i="1" s="1"/>
  <c r="Q6" i="1"/>
  <c r="S6" i="1" s="1"/>
  <c r="L3" i="1"/>
  <c r="M3" i="1" s="1"/>
  <c r="G5" i="1"/>
  <c r="S3" i="1" l="1"/>
</calcChain>
</file>

<file path=xl/sharedStrings.xml><?xml version="1.0" encoding="utf-8"?>
<sst xmlns="http://schemas.openxmlformats.org/spreadsheetml/2006/main" count="36" uniqueCount="26">
  <si>
    <t>𝛿</t>
  </si>
  <si>
    <r>
      <t>n</t>
    </r>
    <r>
      <rPr>
        <vertAlign val="subscript"/>
        <sz val="11"/>
        <color theme="1"/>
        <rFont val="Aptos Narrow"/>
        <family val="2"/>
        <scheme val="minor"/>
      </rPr>
      <t xml:space="preserve">𝛿 </t>
    </r>
  </si>
  <si>
    <t>MAXCNT</t>
  </si>
  <si>
    <t>DIVISOR</t>
  </si>
  <si>
    <t>REGISTER</t>
  </si>
  <si>
    <r>
      <t>t</t>
    </r>
    <r>
      <rPr>
        <vertAlign val="subscript"/>
        <sz val="11"/>
        <color theme="1"/>
        <rFont val="Aptos Narrow"/>
        <family val="2"/>
        <scheme val="minor"/>
      </rPr>
      <t>on</t>
    </r>
  </si>
  <si>
    <r>
      <t>t</t>
    </r>
    <r>
      <rPr>
        <vertAlign val="subscript"/>
        <sz val="11"/>
        <color theme="1"/>
        <rFont val="Aptos Narrow"/>
        <family val="2"/>
        <scheme val="minor"/>
      </rPr>
      <t>pwn</t>
    </r>
  </si>
  <si>
    <r>
      <t>t</t>
    </r>
    <r>
      <rPr>
        <vertAlign val="subscript"/>
        <sz val="11"/>
        <color theme="1"/>
        <rFont val="Aptos Narrow"/>
        <family val="2"/>
        <scheme val="minor"/>
      </rPr>
      <t>off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</si>
  <si>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clk</t>
    </r>
    <r>
      <rPr>
        <sz val="11"/>
        <color theme="1"/>
        <rFont val="Aptos Narrow"/>
        <family val="2"/>
        <scheme val="minor"/>
      </rPr>
      <t xml:space="preserve"> (Hz)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</si>
  <si>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pwn</t>
    </r>
    <r>
      <rPr>
        <sz val="11"/>
        <color theme="1"/>
        <rFont val="Aptos Narrow"/>
        <family val="2"/>
        <scheme val="minor"/>
      </rPr>
      <t xml:space="preserve"> (Hz)</t>
    </r>
  </si>
  <si>
    <t>calculated</t>
  </si>
  <si>
    <t>real</t>
  </si>
  <si>
    <r>
      <t>V</t>
    </r>
    <r>
      <rPr>
        <vertAlign val="subscript"/>
        <sz val="11"/>
        <color theme="1"/>
        <rFont val="Aptos Narrow"/>
        <family val="2"/>
        <scheme val="minor"/>
      </rPr>
      <t>H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</si>
  <si>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</t>
    </r>
  </si>
  <si>
    <t>decimale</t>
  </si>
  <si>
    <t>binario</t>
  </si>
  <si>
    <r>
      <t>f</t>
    </r>
    <r>
      <rPr>
        <vertAlign val="subscript"/>
        <sz val="11"/>
        <color theme="1"/>
        <rFont val="Aptos Narrow"/>
        <family val="2"/>
        <scheme val="minor"/>
      </rPr>
      <t>triangle</t>
    </r>
  </si>
  <si>
    <t>foto 1</t>
  </si>
  <si>
    <t>foto 2,3</t>
  </si>
  <si>
    <t>foto 4</t>
  </si>
  <si>
    <t>foto 5</t>
  </si>
  <si>
    <t>foto 6</t>
  </si>
  <si>
    <t>foto 7</t>
  </si>
  <si>
    <t>ftriangle</t>
  </si>
  <si>
    <t>foto 8</t>
  </si>
  <si>
    <t>Punto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</si>
</sst>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FB63F-A9E1-4AD2-8A69-F00245A0EC9C}">
  <dimension ref="A1:Z12"/>
  <sheetViews>
    <sheetView tabSelected="1" topLeftCell="I1" zoomScale="92" zoomScaleNormal="145" workbookViewId="0">
      <selection activeCell="R16" sqref="R16"/>
    </sheetView>
  </sheetViews>
  <sheetFormatPr defaultRowHeight="14.25" x14ac:dyDescent="0.45"/>
  <cols>
    <col min="5" max="5" width="9" bestFit="1" customWidth="1"/>
  </cols>
  <sheetData>
    <row r="1" spans="1:26" ht="15.75" x14ac:dyDescent="0.55000000000000004">
      <c r="A1" t="s">
        <v>8</v>
      </c>
      <c r="B1" s="4" t="s">
        <v>9</v>
      </c>
      <c r="C1" s="4"/>
      <c r="D1" t="s">
        <v>1</v>
      </c>
      <c r="E1" t="s">
        <v>0</v>
      </c>
      <c r="F1" s="4" t="s">
        <v>2</v>
      </c>
      <c r="G1" s="4"/>
      <c r="H1" s="1"/>
      <c r="I1" s="4" t="s">
        <v>3</v>
      </c>
      <c r="J1" s="4"/>
      <c r="K1" s="1"/>
      <c r="L1" s="4" t="s">
        <v>4</v>
      </c>
      <c r="M1" s="4"/>
      <c r="N1" s="1"/>
      <c r="O1" s="4" t="s">
        <v>6</v>
      </c>
      <c r="P1" s="4"/>
      <c r="Q1" s="4" t="s">
        <v>5</v>
      </c>
      <c r="R1" s="4"/>
      <c r="S1" s="4" t="s">
        <v>7</v>
      </c>
      <c r="T1" s="4"/>
      <c r="U1" s="1" t="s">
        <v>16</v>
      </c>
      <c r="V1" t="s">
        <v>12</v>
      </c>
      <c r="W1" t="s">
        <v>13</v>
      </c>
      <c r="Y1" t="s">
        <v>23</v>
      </c>
      <c r="Z1" t="s">
        <v>25</v>
      </c>
    </row>
    <row r="2" spans="1:26" x14ac:dyDescent="0.45">
      <c r="B2" t="s">
        <v>10</v>
      </c>
      <c r="C2" t="s">
        <v>11</v>
      </c>
      <c r="F2" s="1" t="s">
        <v>14</v>
      </c>
      <c r="G2" s="1" t="s">
        <v>15</v>
      </c>
      <c r="H2" s="1"/>
      <c r="I2" s="1" t="s">
        <v>14</v>
      </c>
      <c r="J2" s="1" t="s">
        <v>15</v>
      </c>
      <c r="K2" s="1"/>
      <c r="L2" s="1" t="s">
        <v>14</v>
      </c>
      <c r="M2" s="1" t="s">
        <v>15</v>
      </c>
      <c r="N2" s="1"/>
      <c r="O2" t="s">
        <v>10</v>
      </c>
      <c r="P2" t="s">
        <v>11</v>
      </c>
      <c r="Q2" t="s">
        <v>10</v>
      </c>
      <c r="R2" t="s">
        <v>11</v>
      </c>
      <c r="S2" t="s">
        <v>10</v>
      </c>
      <c r="T2" t="s">
        <v>11</v>
      </c>
    </row>
    <row r="3" spans="1:26" x14ac:dyDescent="0.45">
      <c r="A3">
        <f>50*10^6</f>
        <v>50000000</v>
      </c>
      <c r="B3">
        <f>10*10^3</f>
        <v>10000</v>
      </c>
      <c r="D3">
        <v>12</v>
      </c>
      <c r="E3" s="2">
        <f>0.2</f>
        <v>0.2</v>
      </c>
      <c r="F3">
        <f>D3-2</f>
        <v>10</v>
      </c>
      <c r="G3" s="3" t="str">
        <f>IF(F3&gt;255, _xlfn.BASE(CEILING(F3/16, 1), 2), _xlfn.BASE(F3,2))</f>
        <v>1010</v>
      </c>
      <c r="H3" s="3" t="str">
        <f>BIN2HEX(G3)</f>
        <v>A</v>
      </c>
      <c r="I3">
        <f>ROUNDUP((A3/(B3*(F3+1)))-1, 0)</f>
        <v>454</v>
      </c>
      <c r="J3" s="3" t="str">
        <f>IF(I3&gt;255, _xlfn.BASE(CEILING(I3/16, 1), 2), _xlfn.BASE(I3, 2))</f>
        <v>11101</v>
      </c>
      <c r="K3" s="3" t="str">
        <f>BIN2HEX(J3)</f>
        <v>1D</v>
      </c>
      <c r="L3">
        <f>ROUNDUP((E3*(F3+1)),0)</f>
        <v>3</v>
      </c>
      <c r="M3" s="3" t="str">
        <f>IF(L3&gt;255, _xlfn.BASE(CEILING(L3/16,1),2),_xlfn.BASE(L3,2))</f>
        <v>11</v>
      </c>
      <c r="N3" s="3" t="str">
        <f>BIN2HEX(M3)</f>
        <v>3</v>
      </c>
      <c r="O3">
        <f>1/B3</f>
        <v>1E-4</v>
      </c>
      <c r="Q3">
        <f>E3*O3</f>
        <v>2.0000000000000002E-5</v>
      </c>
      <c r="S3">
        <f>O3-Q3</f>
        <v>8.0000000000000007E-5</v>
      </c>
      <c r="U3">
        <f>B3/(2*(F3+1))</f>
        <v>454.54545454545456</v>
      </c>
      <c r="X3" t="s">
        <v>17</v>
      </c>
      <c r="Z3" t="s">
        <v>24</v>
      </c>
    </row>
    <row r="4" spans="1:26" x14ac:dyDescent="0.45">
      <c r="A4">
        <f t="shared" ref="A4:A9" si="0">50*10^6</f>
        <v>50000000</v>
      </c>
      <c r="B4">
        <f t="shared" ref="B4:B9" si="1">10*10^3</f>
        <v>10000</v>
      </c>
      <c r="D4">
        <v>12</v>
      </c>
      <c r="E4" s="2">
        <f>0.5</f>
        <v>0.5</v>
      </c>
      <c r="F4">
        <f t="shared" ref="F4:F9" si="2">D4-2</f>
        <v>10</v>
      </c>
      <c r="G4" s="3" t="str">
        <f t="shared" ref="G4:G9" si="3">IF(F4&gt;255, _xlfn.BASE(CEILING(F4/16, 1), 2), _xlfn.BASE(F4,2))</f>
        <v>1010</v>
      </c>
      <c r="H4" s="3" t="str">
        <f t="shared" ref="H4:H9" si="4">BIN2HEX(G4)</f>
        <v>A</v>
      </c>
      <c r="I4">
        <f t="shared" ref="I4:I9" si="5">ROUNDUP((A4/(B4*(F4+1)))-1, 0)</f>
        <v>454</v>
      </c>
      <c r="J4" s="3" t="str">
        <f t="shared" ref="J4:J9" si="6">IF(I4&gt;255, _xlfn.BASE(CEILING(I4/16, 1), 2), _xlfn.BASE(I4, 2))</f>
        <v>11101</v>
      </c>
      <c r="K4" s="3" t="str">
        <f t="shared" ref="K4:K9" si="7">BIN2HEX(J4)</f>
        <v>1D</v>
      </c>
      <c r="L4">
        <f t="shared" ref="L4:L10" si="8">ROUNDUP((E4*(F4+1)),0)</f>
        <v>6</v>
      </c>
      <c r="M4" s="3" t="str">
        <f t="shared" ref="M4:M10" si="9">IF(L4&gt;255, _xlfn.BASE(CEILING(L4/16,1),2),_xlfn.BASE(L4,2))</f>
        <v>110</v>
      </c>
      <c r="N4" s="3" t="str">
        <f t="shared" ref="N4:N9" si="10">BIN2HEX(M4)</f>
        <v>6</v>
      </c>
      <c r="O4">
        <f t="shared" ref="O4:O9" si="11">1/B4</f>
        <v>1E-4</v>
      </c>
      <c r="Q4">
        <f t="shared" ref="Q4:Q9" si="12">E4*O4</f>
        <v>5.0000000000000002E-5</v>
      </c>
      <c r="S4">
        <f t="shared" ref="S4:S9" si="13">O4-Q4</f>
        <v>5.0000000000000002E-5</v>
      </c>
      <c r="U4">
        <f t="shared" ref="U4:U9" si="14">B4/(2*(F4+1))</f>
        <v>454.54545454545456</v>
      </c>
      <c r="X4" t="s">
        <v>18</v>
      </c>
    </row>
    <row r="5" spans="1:26" x14ac:dyDescent="0.45">
      <c r="A5">
        <f t="shared" si="0"/>
        <v>50000000</v>
      </c>
      <c r="B5">
        <f t="shared" si="1"/>
        <v>10000</v>
      </c>
      <c r="D5">
        <v>12</v>
      </c>
      <c r="E5" s="2">
        <f>0.8</f>
        <v>0.8</v>
      </c>
      <c r="F5">
        <f t="shared" si="2"/>
        <v>10</v>
      </c>
      <c r="G5" s="3" t="str">
        <f t="shared" si="3"/>
        <v>1010</v>
      </c>
      <c r="H5" s="3" t="str">
        <f t="shared" si="4"/>
        <v>A</v>
      </c>
      <c r="I5">
        <f t="shared" si="5"/>
        <v>454</v>
      </c>
      <c r="J5" s="3" t="str">
        <f t="shared" si="6"/>
        <v>11101</v>
      </c>
      <c r="K5" s="3" t="str">
        <f t="shared" si="7"/>
        <v>1D</v>
      </c>
      <c r="L5">
        <f t="shared" si="8"/>
        <v>9</v>
      </c>
      <c r="M5" s="3" t="str">
        <f t="shared" si="9"/>
        <v>1001</v>
      </c>
      <c r="N5" s="3" t="str">
        <f t="shared" si="10"/>
        <v>9</v>
      </c>
      <c r="O5">
        <f t="shared" si="11"/>
        <v>1E-4</v>
      </c>
      <c r="Q5">
        <f t="shared" si="12"/>
        <v>8.0000000000000007E-5</v>
      </c>
      <c r="S5">
        <f t="shared" si="13"/>
        <v>1.9999999999999998E-5</v>
      </c>
      <c r="U5">
        <f t="shared" si="14"/>
        <v>454.54545454545456</v>
      </c>
      <c r="X5" t="s">
        <v>19</v>
      </c>
    </row>
    <row r="6" spans="1:26" x14ac:dyDescent="0.45">
      <c r="A6">
        <f t="shared" si="0"/>
        <v>50000000</v>
      </c>
      <c r="B6">
        <f t="shared" si="1"/>
        <v>10000</v>
      </c>
      <c r="D6">
        <f>100</f>
        <v>100</v>
      </c>
      <c r="E6" s="2">
        <f>0.2</f>
        <v>0.2</v>
      </c>
      <c r="F6">
        <f t="shared" si="2"/>
        <v>98</v>
      </c>
      <c r="G6" s="3" t="str">
        <f t="shared" si="3"/>
        <v>1100010</v>
      </c>
      <c r="H6" s="3" t="str">
        <f t="shared" si="4"/>
        <v>62</v>
      </c>
      <c r="I6">
        <f t="shared" si="5"/>
        <v>50</v>
      </c>
      <c r="J6" s="3" t="str">
        <f t="shared" si="6"/>
        <v>110010</v>
      </c>
      <c r="K6" s="3" t="str">
        <f t="shared" si="7"/>
        <v>32</v>
      </c>
      <c r="L6">
        <f t="shared" si="8"/>
        <v>20</v>
      </c>
      <c r="M6" s="3" t="str">
        <f t="shared" si="9"/>
        <v>10100</v>
      </c>
      <c r="N6" s="3" t="str">
        <f t="shared" si="10"/>
        <v>14</v>
      </c>
      <c r="O6">
        <f t="shared" si="11"/>
        <v>1E-4</v>
      </c>
      <c r="Q6">
        <f t="shared" si="12"/>
        <v>2.0000000000000002E-5</v>
      </c>
      <c r="S6">
        <f t="shared" si="13"/>
        <v>8.0000000000000007E-5</v>
      </c>
      <c r="U6">
        <f t="shared" si="14"/>
        <v>50.505050505050505</v>
      </c>
      <c r="X6" t="s">
        <v>20</v>
      </c>
    </row>
    <row r="7" spans="1:26" x14ac:dyDescent="0.45">
      <c r="A7">
        <f t="shared" si="0"/>
        <v>50000000</v>
      </c>
      <c r="B7">
        <f t="shared" si="1"/>
        <v>10000</v>
      </c>
      <c r="D7">
        <f>100</f>
        <v>100</v>
      </c>
      <c r="E7" s="2">
        <f>0.5</f>
        <v>0.5</v>
      </c>
      <c r="F7">
        <f t="shared" si="2"/>
        <v>98</v>
      </c>
      <c r="G7" s="3" t="str">
        <f t="shared" si="3"/>
        <v>1100010</v>
      </c>
      <c r="H7" s="3" t="str">
        <f t="shared" si="4"/>
        <v>62</v>
      </c>
      <c r="I7">
        <f t="shared" si="5"/>
        <v>50</v>
      </c>
      <c r="J7" s="3" t="str">
        <f t="shared" si="6"/>
        <v>110010</v>
      </c>
      <c r="K7" s="3" t="str">
        <f t="shared" si="7"/>
        <v>32</v>
      </c>
      <c r="L7">
        <f t="shared" si="8"/>
        <v>50</v>
      </c>
      <c r="M7" s="3" t="str">
        <f t="shared" si="9"/>
        <v>110010</v>
      </c>
      <c r="N7" s="3" t="str">
        <f t="shared" si="10"/>
        <v>32</v>
      </c>
      <c r="O7">
        <f t="shared" si="11"/>
        <v>1E-4</v>
      </c>
      <c r="Q7">
        <f t="shared" si="12"/>
        <v>5.0000000000000002E-5</v>
      </c>
      <c r="S7">
        <f t="shared" si="13"/>
        <v>5.0000000000000002E-5</v>
      </c>
      <c r="U7">
        <f t="shared" si="14"/>
        <v>50.505050505050505</v>
      </c>
      <c r="X7" t="s">
        <v>21</v>
      </c>
    </row>
    <row r="8" spans="1:26" x14ac:dyDescent="0.45">
      <c r="A8">
        <f t="shared" si="0"/>
        <v>50000000</v>
      </c>
      <c r="B8">
        <f t="shared" si="1"/>
        <v>10000</v>
      </c>
      <c r="D8">
        <f>100</f>
        <v>100</v>
      </c>
      <c r="E8" s="2">
        <f>0.8</f>
        <v>0.8</v>
      </c>
      <c r="F8">
        <f t="shared" si="2"/>
        <v>98</v>
      </c>
      <c r="G8" s="3" t="str">
        <f t="shared" si="3"/>
        <v>1100010</v>
      </c>
      <c r="H8" s="3" t="str">
        <f t="shared" si="4"/>
        <v>62</v>
      </c>
      <c r="I8">
        <f t="shared" si="5"/>
        <v>50</v>
      </c>
      <c r="J8" s="3" t="str">
        <f t="shared" si="6"/>
        <v>110010</v>
      </c>
      <c r="K8" s="3" t="str">
        <f t="shared" si="7"/>
        <v>32</v>
      </c>
      <c r="L8">
        <f t="shared" si="8"/>
        <v>80</v>
      </c>
      <c r="M8" s="3" t="str">
        <f t="shared" si="9"/>
        <v>1010000</v>
      </c>
      <c r="N8" s="3" t="str">
        <f t="shared" si="10"/>
        <v>50</v>
      </c>
      <c r="O8">
        <f t="shared" si="11"/>
        <v>1E-4</v>
      </c>
      <c r="Q8">
        <f t="shared" si="12"/>
        <v>8.0000000000000007E-5</v>
      </c>
      <c r="S8">
        <f t="shared" si="13"/>
        <v>1.9999999999999998E-5</v>
      </c>
      <c r="U8">
        <f t="shared" si="14"/>
        <v>50.505050505050505</v>
      </c>
      <c r="X8" t="s">
        <v>22</v>
      </c>
    </row>
    <row r="9" spans="1:26" x14ac:dyDescent="0.45">
      <c r="A9">
        <f t="shared" si="0"/>
        <v>50000000</v>
      </c>
      <c r="B9">
        <f t="shared" si="1"/>
        <v>10000</v>
      </c>
      <c r="D9">
        <f>100</f>
        <v>100</v>
      </c>
      <c r="E9" s="2">
        <f>1</f>
        <v>1</v>
      </c>
      <c r="F9">
        <f t="shared" si="2"/>
        <v>98</v>
      </c>
      <c r="G9" s="3" t="str">
        <f t="shared" si="3"/>
        <v>1100010</v>
      </c>
      <c r="H9" s="3" t="str">
        <f t="shared" si="4"/>
        <v>62</v>
      </c>
      <c r="I9">
        <f t="shared" si="5"/>
        <v>50</v>
      </c>
      <c r="J9" s="3" t="str">
        <f t="shared" si="6"/>
        <v>110010</v>
      </c>
      <c r="K9" s="3" t="str">
        <f t="shared" si="7"/>
        <v>32</v>
      </c>
      <c r="L9">
        <f t="shared" si="8"/>
        <v>99</v>
      </c>
      <c r="M9" s="3" t="str">
        <f t="shared" si="9"/>
        <v>1100011</v>
      </c>
      <c r="N9" s="3" t="str">
        <f t="shared" si="10"/>
        <v>63</v>
      </c>
      <c r="O9">
        <f t="shared" si="11"/>
        <v>1E-4</v>
      </c>
      <c r="Q9">
        <f t="shared" si="12"/>
        <v>1E-4</v>
      </c>
      <c r="S9">
        <f t="shared" si="13"/>
        <v>0</v>
      </c>
      <c r="U9">
        <f t="shared" si="14"/>
        <v>50.505050505050505</v>
      </c>
    </row>
    <row r="10" spans="1:26" x14ac:dyDescent="0.45">
      <c r="E10" s="2">
        <f>0</f>
        <v>0</v>
      </c>
      <c r="L10">
        <f t="shared" si="8"/>
        <v>0</v>
      </c>
      <c r="M10" s="3" t="str">
        <f t="shared" si="9"/>
        <v>0</v>
      </c>
    </row>
    <row r="11" spans="1:26" x14ac:dyDescent="0.45">
      <c r="E11" s="2"/>
    </row>
    <row r="12" spans="1:26" x14ac:dyDescent="0.45">
      <c r="E12" s="2"/>
    </row>
  </sheetData>
  <mergeCells count="7">
    <mergeCell ref="S1:T1"/>
    <mergeCell ref="F1:G1"/>
    <mergeCell ref="I1:J1"/>
    <mergeCell ref="L1:M1"/>
    <mergeCell ref="B1:C1"/>
    <mergeCell ref="O1:P1"/>
    <mergeCell ref="Q1:R1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Lab5Elettronics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Rizzo  Cristina</dc:creator>
  <cp:lastModifiedBy>Rizzo  Cristina</cp:lastModifiedBy>
  <dcterms:created xsi:type="dcterms:W3CDTF">2026-01-11T17:29:53Z</dcterms:created>
  <dcterms:modified xsi:type="dcterms:W3CDTF">2026-01-22T21:04:07Z</dcterms:modified>
</cp:coreProperties>
</file>